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gregion-my.sharepoint.com/personal/walci1_vgregion_se/Documents/ST RADIOLOGI/"/>
    </mc:Choice>
  </mc:AlternateContent>
  <xr:revisionPtr revIDLastSave="0" documentId="13_ncr:1_{DE835CCE-C504-4A7C-BB66-870EAFF777A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Kurs &amp; Intyg" sheetId="1" r:id="rId1"/>
    <sheet name="ST placeringar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9" i="2" l="1"/>
  <c r="C30" i="2" s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L9" i="1"/>
</calcChain>
</file>

<file path=xl/sharedStrings.xml><?xml version="1.0" encoding="utf-8"?>
<sst xmlns="http://schemas.openxmlformats.org/spreadsheetml/2006/main" count="169" uniqueCount="148">
  <si>
    <t>Kursens namn</t>
  </si>
  <si>
    <t>Ort</t>
  </si>
  <si>
    <t>Tid</t>
  </si>
  <si>
    <t>Status</t>
  </si>
  <si>
    <t>Kurser</t>
  </si>
  <si>
    <t>Kontakt</t>
  </si>
  <si>
    <t>Anm</t>
  </si>
  <si>
    <t>Websida</t>
  </si>
  <si>
    <t>Sista dag</t>
  </si>
  <si>
    <t>http://congresscalendar.myesr.org/</t>
  </si>
  <si>
    <t>http://www.lipus.se/www/templates/courses.cfm</t>
  </si>
  <si>
    <t>a1</t>
  </si>
  <si>
    <t>a2</t>
  </si>
  <si>
    <t>a5</t>
  </si>
  <si>
    <t>a6</t>
  </si>
  <si>
    <t>b1</t>
  </si>
  <si>
    <t>b3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</si>
  <si>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</si>
  <si>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</si>
  <si>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</si>
  <si>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</si>
  <si>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</si>
  <si>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</si>
  <si>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</si>
  <si>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</si>
  <si>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</si>
  <si>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</si>
  <si>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</si>
  <si>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</si>
  <si>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Medarbetarskap, ledarskap och pedagogik</t>
  </si>
  <si>
    <t>Etik, mångfald och jämlikhet</t>
  </si>
  <si>
    <t>Medicinsk vetenskap</t>
  </si>
  <si>
    <t>Lagar och andra föreskrifter samt hälso- och sjukvårdens organisation</t>
  </si>
  <si>
    <t>Kommunikation med patienter och närstående</t>
  </si>
  <si>
    <t>Läkemedel</t>
  </si>
  <si>
    <t>Anatomi, fysiologi och patofysiologi som har relevans för radiologin</t>
  </si>
  <si>
    <t>Fysik/teknik + bildbearb</t>
  </si>
  <si>
    <t>Nuklearmedicin som har relevans för radiologin</t>
  </si>
  <si>
    <t>Thoraxrad</t>
  </si>
  <si>
    <t>Gastrorad</t>
  </si>
  <si>
    <t>Interven rad</t>
  </si>
  <si>
    <t>MSK</t>
  </si>
  <si>
    <t>Neurorad</t>
  </si>
  <si>
    <t>Barnrad</t>
  </si>
  <si>
    <t>Mammo</t>
  </si>
  <si>
    <t>Urogen rad</t>
  </si>
  <si>
    <t>Tillämpa lagar</t>
  </si>
  <si>
    <t>2015 målbeskriv</t>
  </si>
  <si>
    <t>Delm 2008</t>
  </si>
  <si>
    <t>Delm 2015</t>
  </si>
  <si>
    <t>d = del av</t>
  </si>
  <si>
    <t>d= del av</t>
  </si>
  <si>
    <t>Intyg?</t>
  </si>
  <si>
    <t>a3</t>
  </si>
  <si>
    <t>Vårdhygien och smittskydd</t>
  </si>
  <si>
    <t>a4</t>
  </si>
  <si>
    <t>Systematiskt kvalitets- och säkerhetsarbete</t>
  </si>
  <si>
    <t>c1</t>
  </si>
  <si>
    <t>Undersökningsresultat / undersökningsmetoder</t>
  </si>
  <si>
    <t>JA/NEJ</t>
  </si>
  <si>
    <t>Kursens start- och slutdatum</t>
  </si>
  <si>
    <t>Kursort</t>
  </si>
  <si>
    <t>Mailadress till kursansvarig</t>
  </si>
  <si>
    <t>Sista ansökningsdag</t>
  </si>
  <si>
    <t>https://www2.sahlgrenska.se/sv/SU/Jobb-och-framtid/st/stinternt/Ovriga-utbildningar/</t>
  </si>
  <si>
    <t>http://www.sfmr.se/kurser/svenska-kurser-och-kongresser/</t>
  </si>
  <si>
    <t>http://www.socialstyrelsen.se/sk-kurser/</t>
  </si>
  <si>
    <t>Vårdhygien &amp; Smittskydd. Kommunikation - Journalister och sociala medier</t>
  </si>
  <si>
    <t>datum</t>
  </si>
  <si>
    <t>a1, a3, b1</t>
  </si>
  <si>
    <t>Sonodynamics handson</t>
  </si>
  <si>
    <t>Ja</t>
  </si>
  <si>
    <t>c1,c2,c3,c6,c12</t>
  </si>
  <si>
    <t>Regattdag Radiologi - Konsten att lyssna,kommunikation och sammarbete.</t>
  </si>
  <si>
    <t>Optimering av protokollen för MSK konventionella röntgen</t>
  </si>
  <si>
    <t>ST-LIV Ledarskap i vården</t>
  </si>
  <si>
    <t>2020-01-29-2020-09-09</t>
  </si>
  <si>
    <t>a1,a2,a6</t>
  </si>
  <si>
    <t>Basal MSK radiologi</t>
  </si>
  <si>
    <t>Del av delmål c2,c3,c8,c10</t>
  </si>
  <si>
    <t>c1,c2,c3,c4,c9</t>
  </si>
  <si>
    <t>ST väst Edir imaging in brain tumor</t>
  </si>
  <si>
    <t>ST väst Lungnoduli och lungtumörer</t>
  </si>
  <si>
    <t>c1,c2,c4,c5</t>
  </si>
  <si>
    <t>a2,b3,c1,c2,c3,c5,c6,c7,c12</t>
  </si>
  <si>
    <t>ST väst Barnmisshandel</t>
  </si>
  <si>
    <t>ST väst diagnostik av gravida</t>
  </si>
  <si>
    <t>a1,c1,c2,c6,c10,c13</t>
  </si>
  <si>
    <t>ST väst Bröstdiagnostik</t>
  </si>
  <si>
    <t>c1,c2,c3,c4,c11</t>
  </si>
  <si>
    <t>ST väst HRCT och interstitiellasjukdomar</t>
  </si>
  <si>
    <t>c1,c3,c4,c5</t>
  </si>
  <si>
    <t>Nordisk forum för trauma och akutradiologi</t>
  </si>
  <si>
    <t>2019-05-13-2019-05-16</t>
  </si>
  <si>
    <t>b3,c1,c5,c6,c8,c9,c10,c12</t>
  </si>
  <si>
    <t>ST väst Akut ischemisk stroke,strokekedjan,indikationer och imaging</t>
  </si>
  <si>
    <t>c1,c2,c3,c4,c7,c9</t>
  </si>
  <si>
    <t>SK kurs: Thoraxradiologi</t>
  </si>
  <si>
    <t xml:space="preserve">2019-12-09 -2019-12-13 </t>
  </si>
  <si>
    <t>c5, delavdelmål c1-c4</t>
  </si>
  <si>
    <t>Det svåra samtalet</t>
  </si>
  <si>
    <t>ST Placeringar</t>
  </si>
  <si>
    <t xml:space="preserve">Mölndal runda 1 </t>
  </si>
  <si>
    <t xml:space="preserve">Östra Runda 1 </t>
  </si>
  <si>
    <t>Mölndal runda 2</t>
  </si>
  <si>
    <t>Tjänstledig</t>
  </si>
  <si>
    <t>Mölndal xtra månad</t>
  </si>
  <si>
    <t>Östra Runda 2</t>
  </si>
  <si>
    <t>Rotationsmånad</t>
  </si>
  <si>
    <t>Covid IVA</t>
  </si>
  <si>
    <t>Buk o Kärl runda 1</t>
  </si>
  <si>
    <t>Datum</t>
  </si>
  <si>
    <t>170403 - 171001</t>
  </si>
  <si>
    <t>171002 -180408</t>
  </si>
  <si>
    <t>181001 – 190331</t>
  </si>
  <si>
    <t>190401 - 190505</t>
  </si>
  <si>
    <t>190506  - 200405</t>
  </si>
  <si>
    <t>200406 – 200503</t>
  </si>
  <si>
    <t>200504 – 200930</t>
  </si>
  <si>
    <t>DSBUS</t>
  </si>
  <si>
    <t>201005 - 201108</t>
  </si>
  <si>
    <t>Månader</t>
  </si>
  <si>
    <t>Neuro</t>
  </si>
  <si>
    <t>MR månad</t>
  </si>
  <si>
    <t>Kommentar</t>
  </si>
  <si>
    <t>210531 – 211003</t>
  </si>
  <si>
    <t>180409 – 180930</t>
  </si>
  <si>
    <t>20 11 09 -210131</t>
  </si>
  <si>
    <t>21 02 01- 210530</t>
  </si>
  <si>
    <t>Summa antal månader</t>
  </si>
  <si>
    <t>200429 - 200712</t>
  </si>
  <si>
    <t>211101-220131</t>
  </si>
  <si>
    <t>211004 - 211031</t>
  </si>
  <si>
    <t>Nuklearmedicin</t>
  </si>
  <si>
    <t>Buk o Kärl runda 2</t>
  </si>
  <si>
    <t>220201 - 220331</t>
  </si>
  <si>
    <t>220401 - 220531</t>
  </si>
  <si>
    <t>Thorax</t>
  </si>
  <si>
    <t>220601 - 220831</t>
  </si>
  <si>
    <t>Mammografi</t>
  </si>
  <si>
    <t>220901 - 220930</t>
  </si>
  <si>
    <t>Buk o Kärl del runda 2</t>
  </si>
  <si>
    <t>221001-221031</t>
  </si>
  <si>
    <t xml:space="preserve">Forskningsmånader </t>
  </si>
  <si>
    <t>221101 - 221231</t>
  </si>
  <si>
    <t>Neuro komplettering</t>
  </si>
  <si>
    <t>230101-230131</t>
  </si>
  <si>
    <t>Antal gjorda månader ST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</si>
</sst>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000000"/>
      <name val="Calibri Light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14" fontId="0" fillId="0" borderId="0" xfId="0" applyNumberFormat="1" applyAlignment="1">
      <alignment horizontal="left"/>
    </xf>
    <xf numFmtId="14" fontId="2" fillId="0" borderId="0" xfId="1" applyNumberFormat="1" applyAlignment="1">
      <alignment vertical="center"/>
    </xf>
    <xf numFmtId="0" fontId="0" fillId="0" borderId="0" xfId="0" applyNumberFormat="1" applyAlignment="1">
      <alignment horizontal="left"/>
    </xf>
    <xf numFmtId="0" fontId="2" fillId="0" borderId="0" xfId="1" applyAlignment="1">
      <alignment vertical="center"/>
    </xf>
    <xf numFmtId="0" fontId="3" fillId="0" borderId="0" xfId="0" applyNumberFormat="1" applyFont="1" applyAlignment="1">
      <alignment horizontal="left"/>
    </xf>
    <xf numFmtId="14" fontId="1" fillId="0" borderId="0" xfId="0" applyNumberFormat="1" applyFont="1" applyAlignment="1"/>
    <xf numFmtId="14" fontId="0" fillId="0" borderId="0" xfId="0" applyNumberFormat="1" applyAlignment="1"/>
    <xf numFmtId="14" fontId="2" fillId="0" borderId="0" xfId="1" applyNumberFormat="1" applyAlignment="1"/>
    <xf numFmtId="14" fontId="0" fillId="3" borderId="0" xfId="0" applyNumberFormat="1" applyFill="1" applyAlignment="1"/>
    <xf numFmtId="0" fontId="0" fillId="0" borderId="0" xfId="0" applyAlignment="1"/>
    <xf numFmtId="14" fontId="0" fillId="3" borderId="0" xfId="0" applyNumberFormat="1" applyFont="1" applyFill="1" applyAlignment="1"/>
    <xf numFmtId="14" fontId="0" fillId="0" borderId="0" xfId="0" applyNumberFormat="1" applyFill="1" applyAlignment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5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2" fontId="0" fillId="0" borderId="1" xfId="0" applyNumberFormat="1" applyBorder="1" applyAlignment="1"/>
    <xf numFmtId="14" fontId="4" fillId="0" borderId="0" xfId="0" applyNumberFormat="1" applyFont="1" applyAlignment="1"/>
    <xf numFmtId="14" fontId="3" fillId="0" borderId="0" xfId="0" applyNumberFormat="1" applyFont="1" applyAlignment="1"/>
    <xf numFmtId="2" fontId="0" fillId="0" borderId="0" xfId="0" applyNumberFormat="1" applyBorder="1" applyAlignment="1"/>
    <xf numFmtId="2" fontId="6" fillId="0" borderId="0" xfId="0" applyNumberFormat="1" applyFont="1" applyAlignment="1"/>
    <xf numFmtId="14" fontId="7" fillId="0" borderId="0" xfId="0" applyNumberFormat="1" applyFont="1" applyAlignment="1"/>
    <xf numFmtId="0" fontId="7" fillId="4" borderId="0" xfId="0" applyFont="1" applyFill="1"/>
    <xf numFmtId="0" fontId="7" fillId="2" borderId="0" xfId="0" applyFont="1" applyFill="1"/>
    <xf numFmtId="0" fontId="7" fillId="22" borderId="0" xfId="0" applyFont="1" applyFill="1"/>
    <xf numFmtId="14" fontId="5" fillId="0" borderId="0" xfId="0" applyNumberFormat="1" applyFont="1" applyAlignment="1"/>
    <xf numFmtId="0" fontId="5" fillId="0" borderId="0" xfId="0" applyNumberFormat="1" applyFont="1" applyAlignment="1">
      <alignment horizontal="left"/>
    </xf>
    <xf numFmtId="14" fontId="4" fillId="2" borderId="2" xfId="0" applyNumberFormat="1" applyFont="1" applyFill="1" applyBorder="1" applyAlignment="1"/>
    <xf numFmtId="14" fontId="4" fillId="2" borderId="3" xfId="0" applyNumberFormat="1" applyFont="1" applyFill="1" applyBorder="1" applyAlignment="1">
      <alignment horizontal="left"/>
    </xf>
    <xf numFmtId="14" fontId="4" fillId="2" borderId="3" xfId="0" applyNumberFormat="1" applyFont="1" applyFill="1" applyBorder="1" applyAlignment="1"/>
    <xf numFmtId="0" fontId="4" fillId="2" borderId="3" xfId="0" applyNumberFormat="1" applyFont="1" applyFill="1" applyBorder="1" applyAlignment="1">
      <alignment horizontal="left"/>
    </xf>
    <xf numFmtId="14" fontId="4" fillId="2" borderId="4" xfId="0" applyNumberFormat="1" applyFont="1" applyFill="1" applyBorder="1" applyAlignment="1"/>
    <xf numFmtId="0" fontId="10" fillId="16" borderId="1" xfId="0" applyFont="1" applyFill="1" applyBorder="1"/>
    <xf numFmtId="0" fontId="8" fillId="24" borderId="1" xfId="0" applyFont="1" applyFill="1" applyBorder="1"/>
    <xf numFmtId="0" fontId="8" fillId="2" borderId="1" xfId="0" applyFont="1" applyFill="1" applyBorder="1"/>
    <xf numFmtId="0" fontId="8" fillId="8" borderId="1" xfId="0" applyFont="1" applyFill="1" applyBorder="1"/>
    <xf numFmtId="0" fontId="8" fillId="23" borderId="1" xfId="0" applyFont="1" applyFill="1" applyBorder="1"/>
    <xf numFmtId="0" fontId="8" fillId="4" borderId="1" xfId="0" applyFont="1" applyFill="1" applyBorder="1"/>
    <xf numFmtId="0" fontId="8" fillId="7" borderId="1" xfId="0" applyFont="1" applyFill="1" applyBorder="1"/>
    <xf numFmtId="0" fontId="8" fillId="3" borderId="1" xfId="0" applyFont="1" applyFill="1" applyBorder="1"/>
    <xf numFmtId="0" fontId="8" fillId="27" borderId="1" xfId="0" applyFont="1" applyFill="1" applyBorder="1"/>
    <xf numFmtId="0" fontId="8" fillId="25" borderId="1" xfId="0" applyFont="1" applyFill="1" applyBorder="1"/>
    <xf numFmtId="0" fontId="12" fillId="26" borderId="1" xfId="0" applyFont="1" applyFill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0" fillId="15" borderId="1" xfId="0" applyFill="1" applyBorder="1"/>
    <xf numFmtId="0" fontId="0" fillId="28" borderId="1" xfId="0" applyFill="1" applyBorder="1"/>
    <xf numFmtId="0" fontId="11" fillId="29" borderId="0" xfId="0" applyFont="1" applyFill="1"/>
    <xf numFmtId="0" fontId="0" fillId="29" borderId="0" xfId="0" applyFill="1"/>
    <xf numFmtId="0" fontId="9" fillId="29" borderId="0" xfId="0" applyFont="1" applyFill="1"/>
    <xf numFmtId="0" fontId="14" fillId="0" borderId="5" xfId="0" applyFont="1" applyFill="1" applyBorder="1"/>
    <xf numFmtId="0" fontId="0" fillId="28" borderId="5" xfId="0" applyFill="1" applyBorder="1"/>
    <xf numFmtId="0" fontId="0" fillId="30" borderId="0" xfId="0" applyFill="1"/>
    <xf numFmtId="0" fontId="0" fillId="31" borderId="0" xfId="0" applyFill="1"/>
    <xf numFmtId="0" fontId="0" fillId="32" borderId="1" xfId="0" applyFill="1" applyBorder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ipus.se/www/templates/courses.cfm" TargetMode="External"/><Relationship Id="rId1" Type="http://schemas.openxmlformats.org/officeDocument/2006/relationships/hyperlink" Target="http://congresscalendar.myesr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"/>
  <sheetViews>
    <sheetView tabSelected="1" zoomScaleNormal="100" workbookViewId="0">
      <pane xSplit="1" ySplit="9" topLeftCell="J10" activePane="bottomRight" state="frozen"/>
      <selection pane="topRight" activeCell="B1" sqref="B1"/>
      <selection pane="bottomLeft" activeCell="A10" sqref="A10"/>
      <selection pane="bottomRight" activeCell="J37" sqref="J37"/>
    </sheetView>
  </sheetViews>
  <sheetFormatPr defaultRowHeight="15" x14ac:dyDescent="0.25"/>
  <cols>
    <col min="1" max="1" width="41.42578125" style="7" customWidth="1"/>
    <col min="2" max="2" width="15.85546875" style="1" customWidth="1"/>
    <col min="3" max="3" width="9.140625" style="7"/>
    <col min="4" max="4" width="14.7109375" style="7" customWidth="1"/>
    <col min="5" max="5" width="26.140625" style="7" customWidth="1"/>
    <col min="6" max="6" width="12.140625" style="7" customWidth="1"/>
    <col min="7" max="7" width="13.140625" style="7" customWidth="1"/>
    <col min="8" max="8" width="48.28515625" style="7" customWidth="1"/>
    <col min="9" max="9" width="10" style="3" customWidth="1"/>
    <col min="10" max="10" width="24.140625" style="3" bestFit="1" customWidth="1"/>
    <col min="11" max="11" width="9.140625" style="7"/>
    <col min="12" max="12" width="9.140625" style="7" customWidth="1"/>
    <col min="13" max="15" width="9.140625" style="7"/>
    <col min="16" max="16" width="10.42578125" style="7" customWidth="1"/>
    <col min="17" max="29" width="9.140625" style="7"/>
    <col min="30" max="30" width="10.42578125" style="7" bestFit="1" customWidth="1"/>
    <col min="31" max="16384" width="9.140625" style="7"/>
  </cols>
  <sheetData>
    <row r="1" spans="1:32" ht="18.75" x14ac:dyDescent="0.3">
      <c r="A1" s="6" t="s">
        <v>4</v>
      </c>
      <c r="D1" s="1"/>
    </row>
    <row r="2" spans="1:32" x14ac:dyDescent="0.25">
      <c r="A2" s="8" t="s">
        <v>66</v>
      </c>
      <c r="D2" s="1"/>
    </row>
    <row r="3" spans="1:32" x14ac:dyDescent="0.25">
      <c r="A3" s="8" t="s">
        <v>65</v>
      </c>
      <c r="D3" s="1"/>
    </row>
    <row r="4" spans="1:32" x14ac:dyDescent="0.25">
      <c r="A4" s="8" t="s">
        <v>9</v>
      </c>
      <c r="D4" s="1"/>
    </row>
    <row r="5" spans="1:32" x14ac:dyDescent="0.25">
      <c r="A5" s="8" t="s">
        <v>10</v>
      </c>
      <c r="B5" s="7"/>
      <c r="D5" s="1"/>
      <c r="L5" s="33"/>
    </row>
    <row r="6" spans="1:32" x14ac:dyDescent="0.25">
      <c r="A6" s="8" t="s">
        <v>64</v>
      </c>
      <c r="B6" s="7"/>
      <c r="D6" s="1"/>
      <c r="L6" s="32" t="s">
        <v>47</v>
      </c>
    </row>
    <row r="7" spans="1:32" ht="15.75" thickBot="1" x14ac:dyDescent="0.3">
      <c r="A7" s="8"/>
      <c r="B7" s="7"/>
      <c r="D7" s="1"/>
      <c r="I7" s="3" t="s">
        <v>50</v>
      </c>
      <c r="J7" s="3" t="s">
        <v>51</v>
      </c>
      <c r="L7" s="7" t="s">
        <v>29</v>
      </c>
      <c r="M7" s="7" t="s">
        <v>30</v>
      </c>
      <c r="N7" s="36" t="s">
        <v>54</v>
      </c>
      <c r="O7" s="36" t="s">
        <v>56</v>
      </c>
      <c r="P7" s="7" t="s">
        <v>31</v>
      </c>
      <c r="Q7" s="7" t="s">
        <v>32</v>
      </c>
      <c r="R7" s="7" t="s">
        <v>33</v>
      </c>
      <c r="S7" s="40" t="s">
        <v>34</v>
      </c>
      <c r="T7" s="36" t="s">
        <v>58</v>
      </c>
      <c r="U7" s="7" t="s">
        <v>35</v>
      </c>
      <c r="V7" s="7" t="s">
        <v>36</v>
      </c>
      <c r="W7" s="7" t="s">
        <v>37</v>
      </c>
      <c r="X7" s="7" t="s">
        <v>38</v>
      </c>
      <c r="Y7" s="7" t="s">
        <v>39</v>
      </c>
      <c r="Z7" s="40" t="s">
        <v>40</v>
      </c>
      <c r="AA7" s="40" t="s">
        <v>41</v>
      </c>
      <c r="AB7" s="40" t="s">
        <v>42</v>
      </c>
      <c r="AC7" s="40" t="s">
        <v>43</v>
      </c>
      <c r="AD7" s="40" t="s">
        <v>44</v>
      </c>
      <c r="AE7" s="40" t="s">
        <v>45</v>
      </c>
      <c r="AF7" s="40" t="s">
        <v>46</v>
      </c>
    </row>
    <row r="8" spans="1:32" ht="15.75" thickBot="1" x14ac:dyDescent="0.3">
      <c r="A8" s="42" t="s">
        <v>0</v>
      </c>
      <c r="B8" s="43" t="s">
        <v>2</v>
      </c>
      <c r="C8" s="44" t="s">
        <v>1</v>
      </c>
      <c r="D8" s="44" t="s">
        <v>5</v>
      </c>
      <c r="E8" s="44" t="s">
        <v>7</v>
      </c>
      <c r="F8" s="44" t="s">
        <v>6</v>
      </c>
      <c r="G8" s="44" t="s">
        <v>8</v>
      </c>
      <c r="H8" s="44" t="s">
        <v>3</v>
      </c>
      <c r="I8" s="45" t="s">
        <v>48</v>
      </c>
      <c r="J8" s="45" t="s">
        <v>49</v>
      </c>
      <c r="K8" s="46" t="s">
        <v>52</v>
      </c>
      <c r="L8" s="13" t="s">
        <v>11</v>
      </c>
      <c r="M8" s="14" t="s">
        <v>12</v>
      </c>
      <c r="N8" s="37" t="s">
        <v>53</v>
      </c>
      <c r="O8" s="38" t="s">
        <v>55</v>
      </c>
      <c r="P8" s="15" t="s">
        <v>13</v>
      </c>
      <c r="Q8" s="16" t="s">
        <v>14</v>
      </c>
      <c r="R8" s="17" t="s">
        <v>15</v>
      </c>
      <c r="S8" s="18" t="s">
        <v>16</v>
      </c>
      <c r="T8" s="39" t="s">
        <v>57</v>
      </c>
      <c r="U8" s="19" t="s">
        <v>17</v>
      </c>
      <c r="V8" s="20" t="s">
        <v>18</v>
      </c>
      <c r="W8" s="21" t="s">
        <v>19</v>
      </c>
      <c r="X8" s="22" t="s">
        <v>20</v>
      </c>
      <c r="Y8" s="23" t="s">
        <v>21</v>
      </c>
      <c r="Z8" s="24" t="s">
        <v>22</v>
      </c>
      <c r="AA8" s="25" t="s">
        <v>23</v>
      </c>
      <c r="AB8" s="26" t="s">
        <v>24</v>
      </c>
      <c r="AC8" s="27" t="s">
        <v>25</v>
      </c>
      <c r="AD8" s="28" t="s">
        <v>26</v>
      </c>
      <c r="AE8" s="29" t="s">
        <v>27</v>
      </c>
      <c r="AF8" s="30" t="s">
        <v>28</v>
      </c>
    </row>
    <row r="9" spans="1:32" x14ac:dyDescent="0.25">
      <c r="F9" s="7" t="s">
        <v>68</v>
      </c>
      <c r="G9" s="7" t="s">
        <v>63</v>
      </c>
      <c r="K9" s="12" t="s">
        <v>59</v>
      </c>
      <c r="L9" s="35">
        <f t="shared" ref="L9:AF9" si="0">SUM(L10:L43)</f>
        <v>4</v>
      </c>
      <c r="M9" s="35">
        <f t="shared" si="0"/>
        <v>2</v>
      </c>
      <c r="N9" s="35">
        <f t="shared" si="0"/>
        <v>1</v>
      </c>
      <c r="O9" s="35">
        <f t="shared" si="0"/>
        <v>1</v>
      </c>
      <c r="P9" s="35">
        <f t="shared" si="0"/>
        <v>0</v>
      </c>
      <c r="Q9" s="35">
        <f t="shared" si="0"/>
        <v>1</v>
      </c>
      <c r="R9" s="35">
        <f t="shared" si="0"/>
        <v>2</v>
      </c>
      <c r="S9" s="35">
        <f t="shared" si="0"/>
        <v>2</v>
      </c>
      <c r="T9" s="35">
        <f t="shared" si="0"/>
        <v>9.5</v>
      </c>
      <c r="U9" s="35">
        <f t="shared" si="0"/>
        <v>8</v>
      </c>
      <c r="V9" s="35">
        <f t="shared" si="0"/>
        <v>7</v>
      </c>
      <c r="W9" s="35">
        <f t="shared" si="0"/>
        <v>5.5</v>
      </c>
      <c r="X9" s="35">
        <f t="shared" si="0"/>
        <v>5</v>
      </c>
      <c r="Y9" s="35">
        <f t="shared" si="0"/>
        <v>4</v>
      </c>
      <c r="Z9" s="35">
        <f t="shared" si="0"/>
        <v>2</v>
      </c>
      <c r="AA9" s="35">
        <f t="shared" si="0"/>
        <v>1.5</v>
      </c>
      <c r="AB9" s="35">
        <f t="shared" si="0"/>
        <v>3</v>
      </c>
      <c r="AC9" s="35">
        <f t="shared" si="0"/>
        <v>2.5</v>
      </c>
      <c r="AD9" s="35">
        <f t="shared" si="0"/>
        <v>1</v>
      </c>
      <c r="AE9" s="35">
        <f t="shared" si="0"/>
        <v>3</v>
      </c>
      <c r="AF9" s="35">
        <f t="shared" si="0"/>
        <v>1</v>
      </c>
    </row>
    <row r="10" spans="1:32" x14ac:dyDescent="0.25">
      <c r="A10" s="9" t="s">
        <v>67</v>
      </c>
      <c r="B10" s="1" t="s">
        <v>60</v>
      </c>
      <c r="C10" s="7" t="s">
        <v>61</v>
      </c>
      <c r="D10" s="10" t="s">
        <v>62</v>
      </c>
      <c r="E10"/>
      <c r="H10" s="7">
        <v>43004</v>
      </c>
      <c r="J10" s="41" t="s">
        <v>69</v>
      </c>
      <c r="K10" s="7" t="s">
        <v>71</v>
      </c>
      <c r="L10" s="31">
        <v>1</v>
      </c>
      <c r="M10" s="31"/>
      <c r="N10" s="31">
        <v>1</v>
      </c>
      <c r="O10" s="31"/>
      <c r="P10" s="31"/>
      <c r="Q10" s="31"/>
      <c r="R10" s="31">
        <v>1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x14ac:dyDescent="0.25">
      <c r="A11" s="11" t="s">
        <v>70</v>
      </c>
      <c r="D11" s="10"/>
      <c r="H11" s="7">
        <v>43397</v>
      </c>
      <c r="J11" s="5" t="s">
        <v>72</v>
      </c>
      <c r="K11" s="7" t="s">
        <v>71</v>
      </c>
      <c r="L11" s="31"/>
      <c r="M11" s="31"/>
      <c r="N11" s="31"/>
      <c r="O11" s="31"/>
      <c r="P11" s="31"/>
      <c r="Q11" s="31"/>
      <c r="R11" s="31"/>
      <c r="S11" s="31"/>
      <c r="T11" s="31">
        <v>1</v>
      </c>
      <c r="U11" s="31">
        <v>1</v>
      </c>
      <c r="V11" s="31">
        <v>1</v>
      </c>
      <c r="W11" s="31"/>
      <c r="X11" s="31"/>
      <c r="Y11" s="31">
        <v>1</v>
      </c>
      <c r="Z11" s="31"/>
      <c r="AA11" s="31"/>
      <c r="AB11" s="31"/>
      <c r="AC11" s="31"/>
      <c r="AD11" s="31"/>
      <c r="AE11" s="31">
        <v>1</v>
      </c>
      <c r="AF11" s="31"/>
    </row>
    <row r="12" spans="1:32" x14ac:dyDescent="0.25">
      <c r="A12" s="9" t="s">
        <v>73</v>
      </c>
      <c r="D12" s="10"/>
      <c r="H12" s="7">
        <v>42997</v>
      </c>
      <c r="J12" s="5" t="s">
        <v>69</v>
      </c>
      <c r="K12" s="7" t="s">
        <v>71</v>
      </c>
      <c r="L12" s="31">
        <v>1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x14ac:dyDescent="0.25">
      <c r="A13" s="9" t="s">
        <v>74</v>
      </c>
      <c r="D13" s="10"/>
      <c r="H13" s="7">
        <v>43258</v>
      </c>
      <c r="J13" s="5" t="s">
        <v>55</v>
      </c>
      <c r="K13" s="7" t="s">
        <v>71</v>
      </c>
      <c r="L13" s="31"/>
      <c r="M13" s="31"/>
      <c r="N13" s="31"/>
      <c r="O13" s="31">
        <v>1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x14ac:dyDescent="0.25">
      <c r="A14" s="9" t="s">
        <v>75</v>
      </c>
      <c r="D14" s="10"/>
      <c r="H14" s="7" t="s">
        <v>76</v>
      </c>
      <c r="J14" s="5" t="s">
        <v>77</v>
      </c>
      <c r="K14" s="7" t="s">
        <v>71</v>
      </c>
      <c r="L14" s="31">
        <v>1</v>
      </c>
      <c r="M14" s="31">
        <v>1</v>
      </c>
      <c r="N14" s="31"/>
      <c r="O14" s="31"/>
      <c r="P14" s="31"/>
      <c r="Q14" s="31">
        <v>1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x14ac:dyDescent="0.25">
      <c r="A15" s="9" t="s">
        <v>78</v>
      </c>
      <c r="D15" s="10"/>
      <c r="H15" s="7">
        <v>43035</v>
      </c>
      <c r="J15" s="5" t="s">
        <v>79</v>
      </c>
      <c r="K15" s="7" t="s">
        <v>71</v>
      </c>
      <c r="L15" s="31"/>
      <c r="M15" s="31"/>
      <c r="N15" s="31"/>
      <c r="O15" s="31"/>
      <c r="P15" s="31"/>
      <c r="Q15" s="31"/>
      <c r="R15" s="31"/>
      <c r="S15" s="31"/>
      <c r="T15" s="31"/>
      <c r="U15" s="31">
        <v>0.5</v>
      </c>
      <c r="V15" s="31">
        <v>0.5</v>
      </c>
      <c r="W15" s="31"/>
      <c r="X15" s="31"/>
      <c r="Y15" s="31"/>
      <c r="Z15" s="31"/>
      <c r="AA15" s="31">
        <v>0.5</v>
      </c>
      <c r="AB15" s="31"/>
      <c r="AC15" s="31">
        <v>0.5</v>
      </c>
      <c r="AD15" s="31"/>
      <c r="AE15" s="31"/>
      <c r="AF15" s="31"/>
    </row>
    <row r="16" spans="1:32" x14ac:dyDescent="0.25">
      <c r="A16" s="9" t="s">
        <v>81</v>
      </c>
      <c r="D16" s="10"/>
      <c r="J16" s="5" t="s">
        <v>80</v>
      </c>
      <c r="K16" s="7" t="s">
        <v>71</v>
      </c>
      <c r="L16" s="31"/>
      <c r="M16" s="31"/>
      <c r="N16" s="31"/>
      <c r="O16" s="31"/>
      <c r="P16" s="31"/>
      <c r="Q16" s="31"/>
      <c r="R16" s="31"/>
      <c r="S16" s="31"/>
      <c r="T16" s="31">
        <v>1</v>
      </c>
      <c r="U16" s="31">
        <v>1</v>
      </c>
      <c r="V16" s="31">
        <v>1</v>
      </c>
      <c r="W16" s="31">
        <v>1</v>
      </c>
      <c r="X16" s="31"/>
      <c r="Y16" s="31"/>
      <c r="Z16" s="31"/>
      <c r="AA16" s="31"/>
      <c r="AB16" s="31">
        <v>1</v>
      </c>
      <c r="AC16" s="31"/>
      <c r="AD16" s="31"/>
      <c r="AE16" s="31"/>
      <c r="AF16" s="31"/>
    </row>
    <row r="17" spans="1:32" x14ac:dyDescent="0.25">
      <c r="A17" s="9" t="s">
        <v>82</v>
      </c>
      <c r="D17" s="2"/>
      <c r="J17" s="5" t="s">
        <v>83</v>
      </c>
      <c r="K17" s="7" t="s">
        <v>71</v>
      </c>
      <c r="L17" s="31"/>
      <c r="M17" s="31"/>
      <c r="N17" s="31"/>
      <c r="O17" s="31"/>
      <c r="P17" s="31"/>
      <c r="Q17" s="31"/>
      <c r="R17" s="31"/>
      <c r="S17" s="31"/>
      <c r="T17" s="31">
        <v>1</v>
      </c>
      <c r="U17" s="31">
        <v>1</v>
      </c>
      <c r="V17" s="31"/>
      <c r="W17" s="31">
        <v>1</v>
      </c>
      <c r="X17" s="31">
        <v>1</v>
      </c>
      <c r="Y17" s="31"/>
      <c r="Z17" s="31"/>
      <c r="AA17" s="31"/>
      <c r="AB17" s="31"/>
      <c r="AC17" s="31"/>
      <c r="AD17" s="31"/>
      <c r="AE17" s="31"/>
      <c r="AF17" s="31"/>
    </row>
    <row r="18" spans="1:32" x14ac:dyDescent="0.25">
      <c r="A18" s="9" t="s">
        <v>86</v>
      </c>
      <c r="D18" s="10"/>
      <c r="H18" s="7">
        <v>42845</v>
      </c>
      <c r="J18" s="5" t="s">
        <v>84</v>
      </c>
      <c r="K18" s="7" t="s">
        <v>71</v>
      </c>
      <c r="L18" s="31"/>
      <c r="M18" s="31">
        <v>1</v>
      </c>
      <c r="N18" s="31"/>
      <c r="O18" s="31"/>
      <c r="P18" s="31"/>
      <c r="Q18" s="31"/>
      <c r="R18" s="31"/>
      <c r="S18" s="31">
        <v>1</v>
      </c>
      <c r="T18" s="31">
        <v>1</v>
      </c>
      <c r="U18" s="31">
        <v>1</v>
      </c>
      <c r="V18" s="31">
        <v>1</v>
      </c>
      <c r="W18" s="31"/>
      <c r="X18" s="31">
        <v>1</v>
      </c>
      <c r="Y18" s="31">
        <v>1</v>
      </c>
      <c r="Z18" s="31">
        <v>1</v>
      </c>
      <c r="AA18" s="31"/>
      <c r="AB18" s="31"/>
      <c r="AC18" s="31"/>
      <c r="AD18" s="31"/>
      <c r="AE18" s="31">
        <v>1</v>
      </c>
      <c r="AF18" s="31"/>
    </row>
    <row r="19" spans="1:32" x14ac:dyDescent="0.25">
      <c r="A19" s="9" t="s">
        <v>85</v>
      </c>
      <c r="D19" s="8"/>
      <c r="H19" s="33"/>
      <c r="J19" s="5" t="s">
        <v>87</v>
      </c>
      <c r="K19" s="7" t="s">
        <v>71</v>
      </c>
      <c r="L19" s="31">
        <v>1</v>
      </c>
      <c r="M19" s="31"/>
      <c r="N19" s="31"/>
      <c r="O19" s="31"/>
      <c r="P19" s="31"/>
      <c r="Q19" s="31"/>
      <c r="R19" s="31"/>
      <c r="S19" s="31"/>
      <c r="T19" s="31">
        <v>1</v>
      </c>
      <c r="U19" s="31">
        <v>1</v>
      </c>
      <c r="V19" s="31"/>
      <c r="W19" s="31"/>
      <c r="X19" s="31"/>
      <c r="Y19" s="31">
        <v>1</v>
      </c>
      <c r="Z19" s="31"/>
      <c r="AA19" s="31"/>
      <c r="AB19" s="31"/>
      <c r="AC19" s="31">
        <v>1</v>
      </c>
      <c r="AD19" s="31"/>
      <c r="AE19" s="31"/>
      <c r="AF19" s="31">
        <v>1</v>
      </c>
    </row>
    <row r="20" spans="1:32" x14ac:dyDescent="0.25">
      <c r="A20" s="9" t="s">
        <v>88</v>
      </c>
      <c r="D20" s="10"/>
      <c r="J20" s="3" t="s">
        <v>89</v>
      </c>
      <c r="K20" s="7" t="s">
        <v>71</v>
      </c>
      <c r="L20" s="31"/>
      <c r="M20" s="31"/>
      <c r="N20" s="31"/>
      <c r="O20" s="31"/>
      <c r="P20" s="31"/>
      <c r="Q20" s="31"/>
      <c r="R20" s="31"/>
      <c r="S20" s="31"/>
      <c r="T20" s="31">
        <v>1</v>
      </c>
      <c r="U20" s="31">
        <v>1</v>
      </c>
      <c r="V20" s="31">
        <v>1</v>
      </c>
      <c r="W20" s="31">
        <v>1</v>
      </c>
      <c r="X20" s="31"/>
      <c r="Y20" s="31"/>
      <c r="Z20" s="31"/>
      <c r="AA20" s="31"/>
      <c r="AB20" s="31"/>
      <c r="AC20" s="31"/>
      <c r="AD20" s="31">
        <v>1</v>
      </c>
      <c r="AE20" s="31"/>
      <c r="AF20" s="31"/>
    </row>
    <row r="21" spans="1:32" x14ac:dyDescent="0.25">
      <c r="A21" s="9" t="s">
        <v>90</v>
      </c>
      <c r="J21" s="5" t="s">
        <v>91</v>
      </c>
      <c r="K21" s="7" t="s">
        <v>71</v>
      </c>
      <c r="L21" s="31"/>
      <c r="M21" s="31"/>
      <c r="N21" s="31"/>
      <c r="O21" s="31"/>
      <c r="P21" s="31"/>
      <c r="Q21" s="31"/>
      <c r="R21" s="31"/>
      <c r="S21" s="31"/>
      <c r="T21" s="31">
        <v>1</v>
      </c>
      <c r="U21" s="31"/>
      <c r="V21" s="31">
        <v>1</v>
      </c>
      <c r="W21" s="31">
        <v>1</v>
      </c>
      <c r="X21" s="31">
        <v>1</v>
      </c>
      <c r="Y21" s="31"/>
      <c r="Z21" s="31"/>
      <c r="AA21" s="31"/>
      <c r="AB21" s="31"/>
      <c r="AC21" s="31"/>
      <c r="AD21" s="31"/>
      <c r="AE21" s="31"/>
      <c r="AF21" s="31"/>
    </row>
    <row r="22" spans="1:32" x14ac:dyDescent="0.25">
      <c r="A22" s="9" t="s">
        <v>92</v>
      </c>
      <c r="D22" s="8"/>
      <c r="E22" s="8"/>
      <c r="H22" s="7" t="s">
        <v>93</v>
      </c>
      <c r="J22" s="5" t="s">
        <v>94</v>
      </c>
      <c r="K22" s="7" t="s">
        <v>71</v>
      </c>
      <c r="L22" s="31"/>
      <c r="M22" s="31"/>
      <c r="N22" s="31"/>
      <c r="O22" s="31"/>
      <c r="P22" s="31"/>
      <c r="Q22" s="31"/>
      <c r="R22" s="31"/>
      <c r="S22" s="31">
        <v>1</v>
      </c>
      <c r="T22" s="31">
        <v>1</v>
      </c>
      <c r="U22" s="31"/>
      <c r="V22" s="31"/>
      <c r="W22" s="31"/>
      <c r="X22" s="31">
        <v>1</v>
      </c>
      <c r="Y22" s="31">
        <v>1</v>
      </c>
      <c r="Z22" s="31"/>
      <c r="AA22" s="31">
        <v>1</v>
      </c>
      <c r="AB22" s="31">
        <v>1</v>
      </c>
      <c r="AC22" s="31">
        <v>1</v>
      </c>
      <c r="AD22" s="31"/>
      <c r="AE22" s="31">
        <v>1</v>
      </c>
      <c r="AF22" s="31"/>
    </row>
    <row r="23" spans="1:32" x14ac:dyDescent="0.25">
      <c r="A23" s="9" t="s">
        <v>95</v>
      </c>
      <c r="D23" s="8"/>
      <c r="H23" s="7">
        <v>43608</v>
      </c>
      <c r="J23" s="5" t="s">
        <v>96</v>
      </c>
      <c r="K23" s="7" t="s">
        <v>71</v>
      </c>
      <c r="L23" s="31"/>
      <c r="M23" s="31"/>
      <c r="N23" s="31"/>
      <c r="O23" s="31"/>
      <c r="P23" s="31"/>
      <c r="Q23" s="31"/>
      <c r="R23" s="31"/>
      <c r="S23" s="31"/>
      <c r="T23" s="31">
        <v>1</v>
      </c>
      <c r="U23" s="31">
        <v>1</v>
      </c>
      <c r="V23" s="31">
        <v>1</v>
      </c>
      <c r="W23" s="31">
        <v>1</v>
      </c>
      <c r="X23" s="31"/>
      <c r="Y23" s="31"/>
      <c r="Z23" s="31">
        <v>1</v>
      </c>
      <c r="AA23" s="31"/>
      <c r="AB23" s="31">
        <v>1</v>
      </c>
      <c r="AC23" s="31"/>
      <c r="AD23" s="31"/>
      <c r="AE23" s="31"/>
      <c r="AF23" s="31"/>
    </row>
    <row r="24" spans="1:32" x14ac:dyDescent="0.25">
      <c r="A24" s="9" t="s">
        <v>97</v>
      </c>
      <c r="H24" s="7" t="s">
        <v>98</v>
      </c>
      <c r="J24" s="5" t="s">
        <v>99</v>
      </c>
      <c r="K24" s="7" t="s">
        <v>71</v>
      </c>
      <c r="L24" s="31"/>
      <c r="M24" s="31"/>
      <c r="N24" s="31"/>
      <c r="O24" s="31"/>
      <c r="P24" s="31"/>
      <c r="Q24" s="31"/>
      <c r="R24" s="31"/>
      <c r="S24" s="31"/>
      <c r="T24" s="31">
        <v>0.5</v>
      </c>
      <c r="U24" s="31">
        <v>0.5</v>
      </c>
      <c r="V24" s="31">
        <v>0.5</v>
      </c>
      <c r="W24" s="31">
        <v>0.5</v>
      </c>
      <c r="X24" s="31">
        <v>1</v>
      </c>
      <c r="Y24" s="31"/>
      <c r="Z24" s="31"/>
      <c r="AA24" s="31"/>
      <c r="AB24" s="31"/>
      <c r="AC24" s="31"/>
      <c r="AD24" s="31"/>
      <c r="AE24" s="31"/>
      <c r="AF24" s="31"/>
    </row>
    <row r="25" spans="1:32" x14ac:dyDescent="0.25">
      <c r="A25" s="9" t="s">
        <v>100</v>
      </c>
      <c r="D25" s="10"/>
      <c r="J25" s="5" t="s">
        <v>15</v>
      </c>
      <c r="K25" s="7" t="s">
        <v>71</v>
      </c>
      <c r="L25" s="31"/>
      <c r="M25" s="31"/>
      <c r="N25" s="31"/>
      <c r="O25" s="31"/>
      <c r="P25" s="31"/>
      <c r="Q25" s="31"/>
      <c r="R25" s="31">
        <v>1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x14ac:dyDescent="0.25">
      <c r="A26" s="9"/>
      <c r="D26" s="10"/>
      <c r="K26" s="1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x14ac:dyDescent="0.25">
      <c r="A27" s="9"/>
      <c r="D27" s="4"/>
      <c r="K27" s="12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x14ac:dyDescent="0.25">
      <c r="A28" s="9"/>
      <c r="D28" s="10"/>
      <c r="K28" s="12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x14ac:dyDescent="0.25">
      <c r="A29" s="9"/>
      <c r="D29" s="10"/>
      <c r="K29" s="12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x14ac:dyDescent="0.25">
      <c r="A30" s="9"/>
      <c r="D30" s="10"/>
      <c r="K30" s="1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x14ac:dyDescent="0.25">
      <c r="A31" s="9"/>
      <c r="K31" s="1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x14ac:dyDescent="0.25">
      <c r="A32" s="9"/>
      <c r="D32" s="10"/>
      <c r="K32" s="12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x14ac:dyDescent="0.25">
      <c r="A33" s="9"/>
      <c r="K33" s="1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x14ac:dyDescent="0.25">
      <c r="A34" s="9"/>
      <c r="D34"/>
      <c r="H34" s="33"/>
      <c r="I34" s="5"/>
      <c r="J34" s="5"/>
      <c r="K34" s="1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x14ac:dyDescent="0.25">
      <c r="A35" s="9"/>
      <c r="D35" s="10"/>
      <c r="K35" s="12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x14ac:dyDescent="0.25">
      <c r="A36" s="9"/>
      <c r="D36" s="10"/>
      <c r="K36" s="12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x14ac:dyDescent="0.25">
      <c r="A37" s="9"/>
      <c r="D37" s="10"/>
      <c r="K37" s="1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x14ac:dyDescent="0.25">
      <c r="A38" s="9"/>
      <c r="D38" s="10"/>
      <c r="K38" s="12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x14ac:dyDescent="0.25">
      <c r="A39" s="9"/>
      <c r="D39" s="10"/>
      <c r="K39" s="1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x14ac:dyDescent="0.25">
      <c r="A40" s="9"/>
      <c r="D40" s="10"/>
      <c r="K40" s="1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x14ac:dyDescent="0.25">
      <c r="A41" s="9"/>
      <c r="D41" s="10"/>
      <c r="K41" s="12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x14ac:dyDescent="0.25">
      <c r="A42" s="9"/>
      <c r="D42" s="10"/>
      <c r="K42" s="1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x14ac:dyDescent="0.25">
      <c r="A43" s="9"/>
      <c r="D43" s="10"/>
      <c r="K43" s="1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x14ac:dyDescent="0.25">
      <c r="A44" s="1"/>
      <c r="D44" s="10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x14ac:dyDescent="0.25">
      <c r="A45" s="1"/>
      <c r="D45" s="10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1"/>
      <c r="D46" s="10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hyperlinks>
    <hyperlink ref="A4" r:id="rId1" xr:uid="{00000000-0004-0000-0000-000000000000}"/>
    <hyperlink ref="A5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B16" sqref="B16"/>
    </sheetView>
  </sheetViews>
  <sheetFormatPr defaultRowHeight="15" x14ac:dyDescent="0.25"/>
  <cols>
    <col min="1" max="1" width="37.85546875" bestFit="1" customWidth="1"/>
    <col min="2" max="2" width="30.28515625" customWidth="1"/>
    <col min="3" max="3" width="8.85546875" bestFit="1" customWidth="1"/>
    <col min="4" max="4" width="11.42578125" bestFit="1" customWidth="1"/>
  </cols>
  <sheetData>
    <row r="1" spans="1:4" ht="31.5" x14ac:dyDescent="0.5">
      <c r="A1" s="47" t="s">
        <v>101</v>
      </c>
      <c r="B1" s="48" t="s">
        <v>111</v>
      </c>
      <c r="C1" s="61" t="s">
        <v>121</v>
      </c>
      <c r="D1" s="68" t="s">
        <v>124</v>
      </c>
    </row>
    <row r="2" spans="1:4" ht="21" x14ac:dyDescent="0.35">
      <c r="A2" s="49" t="s">
        <v>102</v>
      </c>
      <c r="B2" s="58" t="s">
        <v>112</v>
      </c>
      <c r="C2" s="62">
        <v>6</v>
      </c>
    </row>
    <row r="3" spans="1:4" ht="21" x14ac:dyDescent="0.35">
      <c r="A3" s="50" t="s">
        <v>103</v>
      </c>
      <c r="B3" s="59" t="s">
        <v>113</v>
      </c>
      <c r="C3" s="62">
        <v>6</v>
      </c>
    </row>
    <row r="4" spans="1:4" ht="21" x14ac:dyDescent="0.35">
      <c r="A4" s="49" t="s">
        <v>104</v>
      </c>
      <c r="B4" s="59" t="s">
        <v>126</v>
      </c>
      <c r="C4" s="62">
        <v>6</v>
      </c>
    </row>
    <row r="5" spans="1:4" ht="21" x14ac:dyDescent="0.35">
      <c r="A5" s="51" t="s">
        <v>105</v>
      </c>
      <c r="B5" s="59" t="s">
        <v>114</v>
      </c>
      <c r="C5" s="70"/>
    </row>
    <row r="6" spans="1:4" ht="21" x14ac:dyDescent="0.35">
      <c r="A6" s="49" t="s">
        <v>106</v>
      </c>
      <c r="B6" s="59" t="s">
        <v>115</v>
      </c>
      <c r="C6" s="62">
        <v>1</v>
      </c>
    </row>
    <row r="7" spans="1:4" ht="21" x14ac:dyDescent="0.35">
      <c r="A7" s="50" t="s">
        <v>107</v>
      </c>
      <c r="B7" s="59" t="s">
        <v>116</v>
      </c>
      <c r="C7" s="62">
        <v>11</v>
      </c>
    </row>
    <row r="8" spans="1:4" ht="21" x14ac:dyDescent="0.35">
      <c r="A8" s="52" t="s">
        <v>108</v>
      </c>
      <c r="B8" s="59" t="s">
        <v>117</v>
      </c>
      <c r="C8" s="62">
        <v>1</v>
      </c>
    </row>
    <row r="9" spans="1:4" ht="21" x14ac:dyDescent="0.35">
      <c r="A9" s="53" t="s">
        <v>109</v>
      </c>
      <c r="B9" s="59" t="s">
        <v>130</v>
      </c>
      <c r="C9" s="62"/>
      <c r="D9" s="69">
        <v>2.5</v>
      </c>
    </row>
    <row r="10" spans="1:4" ht="21" x14ac:dyDescent="0.35">
      <c r="A10" s="54" t="s">
        <v>110</v>
      </c>
      <c r="B10" s="59" t="s">
        <v>118</v>
      </c>
      <c r="C10" s="62">
        <v>5</v>
      </c>
    </row>
    <row r="11" spans="1:4" ht="21" x14ac:dyDescent="0.35">
      <c r="A11" s="55" t="s">
        <v>119</v>
      </c>
      <c r="B11" s="59" t="s">
        <v>120</v>
      </c>
      <c r="C11" s="62">
        <v>1</v>
      </c>
    </row>
    <row r="12" spans="1:4" ht="21" x14ac:dyDescent="0.35">
      <c r="A12" s="53" t="s">
        <v>109</v>
      </c>
      <c r="B12" s="59" t="s">
        <v>127</v>
      </c>
      <c r="C12" s="62"/>
      <c r="D12" s="69">
        <v>3</v>
      </c>
    </row>
    <row r="13" spans="1:4" ht="21" x14ac:dyDescent="0.35">
      <c r="A13" s="51" t="s">
        <v>105</v>
      </c>
      <c r="B13" s="59" t="s">
        <v>128</v>
      </c>
      <c r="C13" s="70"/>
    </row>
    <row r="14" spans="1:4" ht="21" x14ac:dyDescent="0.35">
      <c r="A14" s="56" t="s">
        <v>122</v>
      </c>
      <c r="B14" s="59" t="s">
        <v>125</v>
      </c>
      <c r="C14" s="62">
        <v>4</v>
      </c>
    </row>
    <row r="15" spans="1:4" ht="21" x14ac:dyDescent="0.35">
      <c r="A15" s="57" t="s">
        <v>123</v>
      </c>
      <c r="B15" s="59" t="s">
        <v>132</v>
      </c>
      <c r="C15" s="62">
        <v>1</v>
      </c>
    </row>
    <row r="16" spans="1:4" ht="21" x14ac:dyDescent="0.35">
      <c r="A16" s="55" t="s">
        <v>119</v>
      </c>
      <c r="B16" s="60" t="s">
        <v>131</v>
      </c>
      <c r="C16" s="62">
        <v>3</v>
      </c>
    </row>
    <row r="17" spans="1:3" ht="20.25" x14ac:dyDescent="0.3">
      <c r="A17" t="s">
        <v>133</v>
      </c>
      <c r="B17" s="66" t="s">
        <v>135</v>
      </c>
      <c r="C17" s="67"/>
    </row>
    <row r="18" spans="1:3" ht="20.25" x14ac:dyDescent="0.3">
      <c r="A18" t="s">
        <v>134</v>
      </c>
      <c r="B18" s="66" t="s">
        <v>136</v>
      </c>
      <c r="C18" s="67"/>
    </row>
    <row r="19" spans="1:3" ht="20.25" x14ac:dyDescent="0.3">
      <c r="A19" t="s">
        <v>137</v>
      </c>
      <c r="B19" s="66" t="s">
        <v>138</v>
      </c>
      <c r="C19" s="67"/>
    </row>
    <row r="20" spans="1:3" ht="20.25" x14ac:dyDescent="0.3">
      <c r="A20" t="s">
        <v>139</v>
      </c>
      <c r="B20" s="66" t="s">
        <v>140</v>
      </c>
      <c r="C20" s="67"/>
    </row>
    <row r="21" spans="1:3" ht="20.25" x14ac:dyDescent="0.3">
      <c r="A21" t="s">
        <v>141</v>
      </c>
      <c r="B21" s="66" t="s">
        <v>142</v>
      </c>
      <c r="C21" s="67"/>
    </row>
    <row r="22" spans="1:3" ht="20.25" x14ac:dyDescent="0.3">
      <c r="A22" t="s">
        <v>143</v>
      </c>
      <c r="B22" s="66" t="s">
        <v>144</v>
      </c>
      <c r="C22" s="67"/>
    </row>
    <row r="23" spans="1:3" ht="20.25" x14ac:dyDescent="0.3">
      <c r="A23" t="s">
        <v>145</v>
      </c>
      <c r="B23" s="66" t="s">
        <v>146</v>
      </c>
      <c r="C23" s="67"/>
    </row>
    <row r="29" spans="1:3" ht="26.25" x14ac:dyDescent="0.4">
      <c r="A29" s="63" t="s">
        <v>129</v>
      </c>
      <c r="B29" s="64"/>
      <c r="C29" s="65">
        <f>SUM(C2:C26)</f>
        <v>45</v>
      </c>
    </row>
    <row r="30" spans="1:3" x14ac:dyDescent="0.25">
      <c r="A30" s="69" t="s">
        <v>147</v>
      </c>
      <c r="B30" s="69"/>
      <c r="C30" s="69">
        <f>SUM(C29+D9+D12)</f>
        <v>50.5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6953a5eee3424faece5c2353cf0721 xmlns="597d7713-8a3d-4bd2-ae30-edced55b2c1b">
      <Terms xmlns="http://schemas.microsoft.com/office/infopath/2007/PartnerControls"/>
    </ec6953a5eee3424faece5c2353cf0721>
    <VGR_DokBeskrivning xmlns="597d7713-8a3d-4bd2-ae30-edced55b2c1b" xsi:nil="true"/>
    <VGR_EgenAmnesindelning xmlns="597d7713-8a3d-4bd2-ae30-edced55b2c1b" xsi:nil="true"/>
    <TaxCatchAll xmlns="82016b83-f674-4dde-afe8-e14a02130b4b"/>
    <a7144f27c6ef407e8fb4465121afbe2b xmlns="597d7713-8a3d-4bd2-ae30-edced55b2c1b">
      <Terms xmlns="http://schemas.microsoft.com/office/infopath/2007/PartnerControls"/>
    </a7144f27c6ef407e8fb4465121afbe2b>
    <f81e099824a143f999fb44b252d808f6 xmlns="4552c23f-a756-462f-8287-3ff35245ed68">
      <Terms xmlns="http://schemas.microsoft.com/office/infopath/2007/PartnerControls"/>
    </f81e099824a143f999fb44b252d808f6>
    <i1597c54c9084fe5ae9163fac681e86b xmlns="597d7713-8a3d-4bd2-ae30-edced55b2c1b">
      <Terms xmlns="http://schemas.microsoft.com/office/infopath/2007/PartnerControls"/>
    </i1597c54c9084fe5ae9163fac681e86b>
    <m534ae9efef34a1ab5a1291502fec5e5 xmlns="597d7713-8a3d-4bd2-ae30-edced55b2c1b">
      <Terms xmlns="http://schemas.microsoft.com/office/infopath/2007/PartnerControls"/>
    </m534ae9efef34a1ab5a1291502fec5e5>
    <TaxKeywordTaxHTField xmlns="82016b83-f674-4dde-afe8-e14a02130b4b">
      <Terms xmlns="http://schemas.microsoft.com/office/infopath/2007/PartnerControls"/>
    </TaxKeywordTaxHTField>
    <_dlc_DocId xmlns="82016b83-f674-4dde-afe8-e14a02130b4b">SU939-1333906788-177</_dlc_DocId>
    <_dlc_DocIdUrl xmlns="82016b83-f674-4dde-afe8-e14a02130b4b">
      <Url>https://samarbete-skyddad.vgregion.se/sites/sy-su-st-lakare-radiologi/_layouts/15/DocIdRedir.aspx?ID=SU939-1333906788-177</Url>
      <Description>SU939-1333906788-177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VGR Dokument SU" ma:contentTypeID="0x01010006EBECDF67F89F4D8BC5FAF3B8FA559B0D00192625C6304DB44FB4048715CEA179D5" ma:contentTypeVersion="9" ma:contentTypeDescription="Skapa ett nytt dokument." ma:contentTypeScope="" ma:versionID="fff06043494e70d11194e0c1f5de96c6">
  <xsd:schema xmlns:xsd="http://www.w3.org/2001/XMLSchema" xmlns:xs="http://www.w3.org/2001/XMLSchema" xmlns:p="http://schemas.microsoft.com/office/2006/metadata/properties" xmlns:ns2="597d7713-8a3d-4bd2-ae30-edced55b2c1b" xmlns:ns3="82016b83-f674-4dde-afe8-e14a02130b4b" xmlns:ns6="4552c23f-a756-462f-8287-3ff35245ed68" targetNamespace="http://schemas.microsoft.com/office/2006/metadata/properties" ma:root="true" ma:fieldsID="bdd9238e9d74cadd867dd4b63b89584f" ns2:_="" ns3:_="" ns6:_="">
    <xsd:import namespace="597d7713-8a3d-4bd2-ae30-edced55b2c1b"/>
    <xsd:import namespace="82016b83-f674-4dde-afe8-e14a02130b4b"/>
    <xsd:import namespace="4552c23f-a756-462f-8287-3ff35245ed68"/>
    <xsd:element name="properties">
      <xsd:complexType>
        <xsd:sequence>
          <xsd:element name="documentManagement">
            <xsd:complexType>
              <xsd:all>
                <xsd:element ref="ns2:VGR_EgenAmnesindelning" minOccurs="0"/>
                <xsd:element ref="ns2:VGR_DokBeskrivning" minOccurs="0"/>
                <xsd:element ref="ns2:VGR_TillgangligFran" minOccurs="0"/>
                <xsd:element ref="ns2:VGR_TillgangligTill" minOccurs="0"/>
                <xsd:element ref="ns2:VGR_AtkomstRatt" minOccurs="0"/>
                <xsd:element ref="ns2:VGR_Sekretess" minOccurs="0"/>
                <xsd:element ref="ns2:VGR_PubliceratAv" minOccurs="0"/>
                <xsd:element ref="ns2:VGR_PubliceratDatum" minOccurs="0"/>
                <xsd:element ref="ns2:VGR_DokStatus" minOccurs="0"/>
                <xsd:element ref="ns2:VGR_DokStatusMessage" minOccurs="0"/>
                <xsd:element ref="ns2:i1597c54c9084fe5ae9163fac681e86b" minOccurs="0"/>
                <xsd:element ref="ns2:m534ae9efef34a1ab5a1291502fec5e5" minOccurs="0"/>
                <xsd:element ref="ns3:TaxCatchAll" minOccurs="0"/>
                <xsd:element ref="ns2:a7144f27c6ef407e8fb4465121afbe2b" minOccurs="0"/>
                <xsd:element ref="ns2:VGR_DokItemId" minOccurs="0"/>
                <xsd:element ref="ns2:VGR_MellanarkivId" minOccurs="0"/>
                <xsd:element ref="ns2:VGR_MellanarkivUrl" minOccurs="0"/>
                <xsd:element ref="ns2:VGR_MellanarkivWebbUrl" minOccurs="0"/>
                <xsd:element ref="ns2:VGR_ArkivDatum" minOccurs="0"/>
                <xsd:element ref="ns2:VGR_Gallras" minOccurs="0"/>
                <xsd:element ref="ns2:ec6953a5eee3424faece5c2353cf0721" minOccurs="0"/>
                <xsd:element ref="ns3:TaxCatchAllLabel" minOccurs="0"/>
                <xsd:element ref="ns3:TaxKeywordTaxHTField" minOccurs="0"/>
                <xsd:element ref="ns6:f81e099824a143f999fb44b252d808f6" minOccurs="0"/>
                <xsd:element ref="ns3:_dlc_DocIdUrl" minOccurs="0"/>
                <xsd:element ref="ns3:_dlc_DocIdPersistId" minOccurs="0"/>
                <xsd:element ref="ns3:_dlc_DocId" minOccurs="0"/>
                <xsd:element ref="ns6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d7713-8a3d-4bd2-ae30-edced55b2c1b" elementFormDefault="qualified">
    <xsd:import namespace="http://schemas.microsoft.com/office/2006/documentManagement/types"/>
    <xsd:import namespace="http://schemas.microsoft.com/office/infopath/2007/PartnerControls"/>
    <xsd:element name="VGR_EgenAmnesindelning" ma:index="5" nillable="true" ma:displayName="Egen ämnesindelning" ma:description="Används för att samla upprättade handlingar utifrån egna ämnesindelningar. Flera ämnen separeras med kommatecken. Används vid publicering på webben." ma:hidden="true" ma:internalName="VGR_EgenAmnesindelning">
      <xsd:simpleType>
        <xsd:restriction base="dms:Text">
          <xsd:maxLength value="255"/>
        </xsd:restriction>
      </xsd:simpleType>
    </xsd:element>
    <xsd:element name="VGR_DokBeskrivning" ma:index="7" nillable="true" ma:displayName="Dokumentbeskrivning" ma:description="Kort beskrivning av innehållet i handlingen." ma:internalName="VGR_DokBeskrivning">
      <xsd:simpleType>
        <xsd:restriction base="dms:Note">
          <xsd:maxLength value="255"/>
        </xsd:restriction>
      </xsd:simpleType>
    </xsd:element>
    <xsd:element name="VGR_TillgangligFran" ma:index="8" nillable="true" ma:displayName="Tillgänglig från" ma:description="Tidpunkt när den upprättade handlingen blir publik och därmed nås från söktjänster och eventuella websidor." ma:format="DateTime" ma:hidden="true" ma:internalName="VGR_TillgangligFran" ma:readOnly="true">
      <xsd:simpleType>
        <xsd:restriction base="dms:DateTime"/>
      </xsd:simpleType>
    </xsd:element>
    <xsd:element name="VGR_TillgangligTill" ma:index="9" nillable="true" ma:displayName="Tillgänglig till" ma:description="Tidpunkt när den upprättade handlingen inte längre är publik och inte längre nås från söktjänster och eventuella websidor." ma:format="DateTime" ma:hidden="true" ma:internalName="VGR_TillgangligTill" ma:readOnly="true">
      <xsd:simpleType>
        <xsd:restriction base="dms:DateTime"/>
      </xsd:simpleType>
    </xsd:element>
    <xsd:element name="VGR_AtkomstRatt" ma:index="10" nillable="true" ma:displayName="Åtkomsträtt (värde)" ma:default="0" ma:description="Vilken spridning den upprättade handlingen ska ha. Vilka som ska kunna komma åt handlingen från mellanarkivet, söktjänster och eventuella websidor." ma:format="Dropdown" ma:hidden="true" ma:internalName="VGR_AtkomstRatt" ma:readOnly="true">
      <xsd:simpleType>
        <xsd:restriction base="dms:Choice">
          <xsd:enumeration value="0"/>
          <xsd:enumeration value="1"/>
          <xsd:enumeration value="2"/>
          <xsd:enumeration value="3"/>
          <xsd:enumeration value="4"/>
        </xsd:restriction>
      </xsd:simpleType>
    </xsd:element>
    <xsd:element name="VGR_Sekretess" ma:index="11" nillable="true" ma:displayName="Skyddskod" ma:default="Allmän handling - Offentlig" ma:description="Skyddsbehov av informationen i den upprättade handlingen. Vid sekretess eller känsliga personuppgifter ska detta anges." ma:format="Dropdown" ma:hidden="true" ma:internalName="VGR_Sekretess" ma:readOnly="true">
      <xsd:simpleType>
        <xsd:restriction base="dms:Choice">
          <xsd:enumeration value="Allmän handling - Offentlig"/>
          <xsd:enumeration value="Sekretess - Allmän handling - skyddad enligt sekretess"/>
          <xsd:enumeration value="GDPR - Allmän handling - skyddad enligt GDPR"/>
        </xsd:restriction>
      </xsd:simpleType>
    </xsd:element>
    <xsd:element name="VGR_PubliceratAv" ma:index="13" nillable="true" ma:displayName="Upprättad av" ma:description="Inloggad person som upprättat dokumentet" ma:hidden="true" ma:SharePointGroup="0" ma:internalName="VGR_PubliceratAv" ma:readOnly="tru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GR_PubliceratDatum" ma:index="14" nillable="true" ma:displayName="Upprättad datum" ma:description="Tidpunkt när dokumentet upprättades och levererades som allmän handling till mellanarkivet" ma:format="DateTime" ma:hidden="true" ma:internalName="VGR_PubliceratDatum" ma:readOnly="true">
      <xsd:simpleType>
        <xsd:restriction base="dms:DateTime"/>
      </xsd:simpleType>
    </xsd:element>
    <xsd:element name="VGR_DokStatus" ma:index="15" nillable="true" ma:displayName="Mellanarkivstatus" ma:default="Arbetsmaterial" ma:description="Statusmärkning för dokument som beskriver var i processen dokumentet finns." ma:format="Dropdown" ma:hidden="true" ma:internalName="VGR_DokStatus" ma:readOnly="true">
      <xsd:simpleType>
        <xsd:restriction base="dms:Choice">
          <xsd:enumeration value="Arbetsmaterial"/>
          <xsd:enumeration value="Väntar på allmän handling"/>
          <xsd:enumeration value="Allmän handling"/>
          <xsd:enumeration value="Fel vid allmän handling"/>
        </xsd:restriction>
      </xsd:simpleType>
    </xsd:element>
    <xsd:element name="VGR_DokStatusMessage" ma:index="18" nillable="true" ma:displayName="Dokumentlogg" ma:hidden="true" ma:internalName="VGR_DokStatusMessage" ma:readOnly="true">
      <xsd:simpleType>
        <xsd:restriction base="dms:Note">
          <xsd:maxLength value="62000"/>
        </xsd:restriction>
      </xsd:simpleType>
    </xsd:element>
    <xsd:element name="i1597c54c9084fe5ae9163fac681e86b" ma:index="22" nillable="true" ma:taxonomy="true" ma:internalName="i1597c54c9084fe5ae9163fac681e86b" ma:taxonomyFieldName="VGR_Lagparagraf" ma:displayName="Lagparagraf" ma:default="" ma:fieldId="{21597c54-c908-4fe5-ae91-63fac681e86b}" ma:sspId="9ae8f2b4-7723-4074-8d0a-ecbcde67f65a" ma:termSetId="ddb163ed-d655-4cf1-bb2c-a91ec57f9c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34ae9efef34a1ab5a1291502fec5e5" ma:index="23" nillable="true" ma:taxonomy="true" ma:internalName="m534ae9efef34a1ab5a1291502fec5e5" ma:taxonomyFieldName="VGR_SkapatEnhet" ma:displayName="Upprättad av enhet" ma:default="" ma:fieldId="{6534ae9e-fef3-4a1a-b5a1-291502fec5e5}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144f27c6ef407e8fb4465121afbe2b" ma:index="26" nillable="true" ma:taxonomy="true" ma:internalName="a7144f27c6ef407e8fb4465121afbe2b" ma:taxonomyFieldName="VGR_UpprattadForEnheter" ma:displayName="Upprättad för enhet" ma:default="" ma:fieldId="{a7144f27-c6ef-407e-8fb4-465121afbe2b}" ma:taxonomyMulti="true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GR_DokItemId" ma:index="28" nillable="true" ma:displayName="DokItemId" ma:hidden="true" ma:internalName="VGR_DokItemId" ma:readOnly="true">
      <xsd:simpleType>
        <xsd:restriction base="dms:Text">
          <xsd:maxLength value="255"/>
        </xsd:restriction>
      </xsd:simpleType>
    </xsd:element>
    <xsd:element name="VGR_MellanarkivId" ma:index="29" nillable="true" ma:displayName="MellanarkivId" ma:hidden="true" ma:internalName="VGR_MellanarkivId" ma:readOnly="true">
      <xsd:simpleType>
        <xsd:restriction base="dms:Text">
          <xsd:maxLength value="255"/>
        </xsd:restriction>
      </xsd:simpleType>
    </xsd:element>
    <xsd:element name="VGR_MellanarkivUrl" ma:index="30" nillable="true" ma:displayName="Arkivlänk" ma:format="Hyperlink" ma:hidden="true" ma:internalName="VGR_Mellanarkiv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GR_MellanarkivWebbUrl" ma:index="31" nillable="true" ma:displayName="Arkivlänk för webben" ma:hidden="true" ma:internalName="VGR_MellanarkivWebbUrl" ma:readOnly="true">
      <xsd:simpleType>
        <xsd:restriction base="dms:Text">
          <xsd:maxLength value="255"/>
        </xsd:restriction>
      </xsd:simpleType>
    </xsd:element>
    <xsd:element name="VGR_ArkivDatum" ma:index="32" nillable="true" ma:displayName="ArkivDatum" ma:format="DateTime" ma:hidden="true" ma:internalName="VGR_ArkivDatum" ma:readOnly="true">
      <xsd:simpleType>
        <xsd:restriction base="dms:DateTime"/>
      </xsd:simpleType>
    </xsd:element>
    <xsd:element name="VGR_Gallras" ma:index="33" nillable="true" ma:displayName="Gallras" ma:description="" ma:hidden="true" ma:internalName="VGR_Gallras" ma:readOnly="true">
      <xsd:simpleType>
        <xsd:restriction base="dms:Text">
          <xsd:maxLength value="255"/>
        </xsd:restriction>
      </xsd:simpleType>
    </xsd:element>
    <xsd:element name="ec6953a5eee3424faece5c2353cf0721" ma:index="34" nillable="true" ma:taxonomy="true" ma:internalName="ec6953a5eee3424faece5c2353cf0721" ma:taxonomyFieldName="VGR_AmnesIndelning" ma:displayName="Regional ämnesindelning" ma:default="" ma:fieldId="{ec6953a5-eee3-424f-aece-5c2353cf0721}" ma:taxonomyMulti="true" ma:sspId="9ae8f2b4-7723-4074-8d0a-ecbcde67f65a" ma:termSetId="66c52c7a-5036-4d83-ab03-8b3f33605b6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16b83-f674-4dde-afe8-e14a02130b4b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f319d9c6-7de0-45a9-b265-3106784c2503}" ma:internalName="TaxCatchAll" ma:showField="CatchAllData" ma:web="82016b83-f674-4dde-afe8-e14a02130b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5" nillable="true" ma:displayName="Taxonomy Catch All Column1" ma:hidden="true" ma:list="{f319d9c6-7de0-45a9-b265-3106784c2503}" ma:internalName="TaxCatchAllLabel" ma:readOnly="true" ma:showField="CatchAllDataLabel" ma:web="82016b83-f674-4dde-afe8-e14a02130b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36" nillable="true" ma:taxonomy="true" ma:internalName="TaxKeywordTaxHTField" ma:taxonomyFieldName="TaxKeyword" ma:displayName="Företagsnyckelord" ma:fieldId="{23f27201-bee3-471e-b2e7-b64fd8b7ca38}" ma:taxonomyMulti="true" ma:sspId="9ae8f2b4-7723-4074-8d0a-ecbcde67f65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Url" ma:index="43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4" nillable="true" ma:displayName="Spara ID" ma:description="Behåll ID vid tillägg." ma:hidden="true" ma:internalName="_dlc_DocIdPersistId" ma:readOnly="true">
      <xsd:simpleType>
        <xsd:restriction base="dms:Boolean"/>
      </xsd:simpleType>
    </xsd:element>
    <xsd:element name="_dlc_DocId" ma:index="45" nillable="true" ma:displayName="Dokument-ID-värde" ma:description="Värdet för dokument-ID som tilldelats till det här objektet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2c23f-a756-462f-8287-3ff35245ed68" elementFormDefault="qualified">
    <xsd:import namespace="http://schemas.microsoft.com/office/2006/documentManagement/types"/>
    <xsd:import namespace="http://schemas.microsoft.com/office/infopath/2007/PartnerControls"/>
    <xsd:element name="f81e099824a143f999fb44b252d808f6" ma:index="41" nillable="true" ma:taxonomy="true" ma:internalName="f81e099824a143f999fb44b252d808f6" ma:taxonomyFieldName="Handlingstyp_SU" ma:displayName="Handlingstyp SU" ma:fieldId="{f81e0998-24a1-43f9-99fb-44b252d808f6}" ma:sspId="9ae8f2b4-7723-4074-8d0a-ecbcde67f65a" ma:termSetId="2d5b8981-be65-4a38-8775-e8d329e573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9E1C71-7552-48BF-9022-9E9589FFFC54}">
  <ds:schemaRefs>
    <ds:schemaRef ds:uri="http://schemas.microsoft.com/office/2006/metadata/properties"/>
    <ds:schemaRef ds:uri="http://schemas.microsoft.com/office/infopath/2007/PartnerControls"/>
    <ds:schemaRef ds:uri="597d7713-8a3d-4bd2-ae30-edced55b2c1b"/>
    <ds:schemaRef ds:uri="82016b83-f674-4dde-afe8-e14a02130b4b"/>
    <ds:schemaRef ds:uri="4552c23f-a756-462f-8287-3ff35245ed68"/>
  </ds:schemaRefs>
</ds:datastoreItem>
</file>

<file path=customXml/itemProps2.xml><?xml version="1.0" encoding="utf-8"?>
<ds:datastoreItem xmlns:ds="http://schemas.openxmlformats.org/officeDocument/2006/customXml" ds:itemID="{53665ABC-11EC-47BE-BAA8-F0FE5C3B0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d7713-8a3d-4bd2-ae30-edced55b2c1b"/>
    <ds:schemaRef ds:uri="82016b83-f674-4dde-afe8-e14a02130b4b"/>
    <ds:schemaRef ds:uri="4552c23f-a756-462f-8287-3ff35245e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B96EA6-4966-45C5-B804-6DF6A343C34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025214F-F4B7-433C-854D-5E928E28BC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Kurs &amp; Intyg</vt:lpstr>
      <vt:lpstr>ST placeringar</vt:lpstr>
      <vt:lpstr>Blad3</vt:lpstr>
    </vt:vector>
  </TitlesOfParts>
  <Company>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Unnerstall</dc:creator>
  <cp:lastModifiedBy>Walter Cifuentes Ramirez</cp:lastModifiedBy>
  <dcterms:created xsi:type="dcterms:W3CDTF">2014-12-18T13:09:54Z</dcterms:created>
  <dcterms:modified xsi:type="dcterms:W3CDTF">2023-05-04T09:30:01Z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0x01010006EBECDF67F89F4D8BC5FAF3B8FA559B0D00192625C6304DB44FB4048715CEA179D5</vt:lpwstr>
  </property>
  <property fmtid="{D5CDD505-2E9C-101B-9397-08002B2CF9AE}" pid="3" name="_dlc_DocIdItemGuid">
    <vt:lpwstr>0298cb07-8a7c-40c8-921a-1b1441b25dba</vt:lpwstr>
  </property>
</Properties>
</file>